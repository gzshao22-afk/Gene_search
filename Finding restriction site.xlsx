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hao\Downloads\"/>
    </mc:Choice>
  </mc:AlternateContent>
  <xr:revisionPtr revIDLastSave="0" documentId="13_ncr:1_{EB2A07B5-CF92-4C64-BEAB-50AB6C339CB5}" xr6:coauthVersionLast="47" xr6:coauthVersionMax="47" xr10:uidLastSave="{00000000-0000-0000-0000-000000000000}"/>
  <bookViews>
    <workbookView xWindow="-110" yWindow="-110" windowWidth="19420" windowHeight="11500" xr2:uid="{6DDB42B0-89A2-4E2C-BA91-5E03B392527E}"/>
  </bookViews>
  <sheets>
    <sheet name="Sheet1" sheetId="7" r:id="rId1"/>
  </sheets>
  <definedNames>
    <definedName name="Anti">Sheet1!$C$13:$C$16</definedName>
    <definedName name="aX">#REF!</definedName>
    <definedName name="aY">#REF!</definedName>
    <definedName name="bX">#REF!</definedName>
    <definedName name="bY">#REF!</definedName>
    <definedName name="cX">#REF!</definedName>
    <definedName name="cY">#REF!</definedName>
    <definedName name="Sense">Sheet1!$B$13:$B$16</definedName>
    <definedName name="tX">#REF!</definedName>
    <definedName name="tY">#REF!</definedName>
    <definedName name="X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7" l="1"/>
  <c r="B26" i="7"/>
  <c r="D25" i="7" s="1"/>
  <c r="B29" i="7" l="1" a="1"/>
  <c r="B29" i="7" s="1"/>
  <c r="D28" i="7" s="1"/>
  <c r="C35" i="7"/>
  <c r="C36" i="7" s="1"/>
  <c r="B32" i="7" a="1"/>
  <c r="B32" i="7" s="1"/>
  <c r="D31" i="7" s="1"/>
  <c r="D35" i="7" l="1"/>
  <c r="D36" i="7"/>
  <c r="C37" i="7"/>
  <c r="D37" i="7" s="1"/>
  <c r="C41" i="7"/>
  <c r="C42" i="7" s="1"/>
  <c r="C43" i="7" l="1"/>
  <c r="D43" i="7" s="1"/>
  <c r="D42" i="7"/>
  <c r="D4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<sst xmlns="http://schemas.openxmlformats.org/spreadsheetml/2006/main" count="49" uniqueCount="36">
  <si>
    <t>BsaI</t>
  </si>
  <si>
    <t>GGTCTC</t>
  </si>
  <si>
    <t>&gt;Full_Sequence</t>
  </si>
  <si>
    <t>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ttcaggctacgcaactgttgggaagggcgatcggtgcgggcctcttcgctattacgccag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cgccattctgcctggggacgtcggagcaagcttgatttaggtgacactatagaggtctcaatgggcggatccggcggcggtaccggcttgagaccctcatcctcccgggtaactaagtaaggatctcgaccgatcctgagaacttcagggtgagtttggggacccttgattgttctttctttttcgctattgtaaaattcatgttatatggagggggcaaagttttcagggtgttgtttagaatgggaagatgtcccttgtatcaccatggaccctcatgataattttgtttctttcactttctactctgttgacaaccattgtctcctcttattttcttttcattttctgtaactttttcgttaaactttagcttgcatttgtaacgaatttttaaattcacttttgtttatttgtcagattgtaagtactttctctaatcacttttttttcaaggcaatcagggtatattatattgtacttcagcacagttttagagaacaattgttataattaaatgataaggtagaatatttctgcatataaattctggctggcgtggaaatattcttattggtagaaacaactacaccctggtcatcatcctgcctttctctttatggttacaatgatatacactgtttgagatgaggataaaatactctgagtccaaaccgggcccctctgctaaccatgttcatgccttcttctctttcctacagctcctgggcaacgtgctggttgttgtgctgtctcatcattttggcaaagaattaattcctcgacggatcgtagatccagacatgataagatacattgatgagtttggacaaaccacaactagaatgcagtgaaaaaaatgctttatttgtgaaatttgtgatgctattgctttatttgtaaccattataagctgcaataaacaagttaacaacaacaattgcattcattttatgtttcaggttcagggggaggtgtgggaggttttttaattcgcggccgctctagaactagtctgcattaatgaatcggccaacgcgcggggagaggcggtttgcgtattgggcgctcttccgcttcctcgctcactgactcgctgcgctcggtcgttcggctgcggcgagcggtatcagctcactcaaaggcggtaatacggttatccacagaatcaggggataacgcaggaaagaacatgtgagcaaaaggccagcaaaaggccaggaaccgtaaaaaggccgcgttgctggcgtttttccataggctcggcccccctgacgagcatcacaaaaatcgacgctcaagtcagaggtggcgaaacccgacaggactataaagataccaggcgttcccccctggaagctccctcgtgcgctctcctgttccgaccctgccgcttaccggatacctgtccgcctttctcccttcgggaagcgtggcgctttctcaat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g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aaaaaaagcggttagctccttcggtcctccgatcgttgtcagaagtaagttggccgcagtgttatcactcatgc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</t>
  </si>
  <si>
    <t>A</t>
  </si>
  <si>
    <t>T</t>
  </si>
  <si>
    <t>C</t>
  </si>
  <si>
    <t>G</t>
  </si>
  <si>
    <t>Original sequence</t>
  </si>
  <si>
    <t>Upper</t>
  </si>
  <si>
    <t>Length</t>
  </si>
  <si>
    <t>Sense</t>
  </si>
  <si>
    <t>Anti</t>
  </si>
  <si>
    <t>Restriction enzyme</t>
  </si>
  <si>
    <t>Found string</t>
  </si>
  <si>
    <t>Order of match in the Sense</t>
  </si>
  <si>
    <t>Found position</t>
  </si>
  <si>
    <t>1st</t>
  </si>
  <si>
    <t>2nd</t>
  </si>
  <si>
    <t>3rd</t>
  </si>
  <si>
    <t>Order of match in the Anti</t>
  </si>
  <si>
    <t>Instruction:</t>
  </si>
  <si>
    <t>1. Copy and paste plasmid sequence into B15</t>
  </si>
  <si>
    <t>2. Change the target restriction enzyme recognition sequence in F6</t>
  </si>
  <si>
    <t>3. Choose the substring length as you wish in D30-D38, default is 11 for BsaI</t>
  </si>
  <si>
    <t>0. This excel sheet is intended for validate the matching stickly ends linkers from Addgene MoClo kit, https://www.addgene.org/cloning/moclo/</t>
  </si>
  <si>
    <t>Reverse sequence</t>
  </si>
  <si>
    <t>Reverse complementary sequence</t>
  </si>
  <si>
    <t>←</t>
  </si>
  <si>
    <t>→</t>
  </si>
  <si>
    <t>length</t>
  </si>
  <si>
    <t>References:</t>
  </si>
  <si>
    <t>Addgene MoClo kit</t>
  </si>
  <si>
    <t>https://www.addgene.org/cloning/moclo/</t>
  </si>
  <si>
    <t>https://www.addgene.org/kits/wittbrodt-golden-gateway/#:~:text=In%20preparation%20for%20using%20the,in%20the%20final%20expression%20vector.</t>
  </si>
  <si>
    <t>Golden Gateway kit Kit #1000000054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</si>
</sst>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i/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3" xfId="0" applyBorder="1"/>
    <xf numFmtId="0" fontId="0" fillId="0" borderId="2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4" xfId="0" applyFont="1" applyBorder="1"/>
    <xf numFmtId="0" fontId="0" fillId="0" borderId="4" xfId="0" applyBorder="1"/>
    <xf numFmtId="0" fontId="1" fillId="0" borderId="5" xfId="0" applyFont="1" applyBorder="1" applyAlignment="1">
      <alignment wrapText="1"/>
    </xf>
    <xf numFmtId="0" fontId="1" fillId="0" borderId="11" xfId="0" applyFont="1" applyBorder="1"/>
    <xf numFmtId="0" fontId="1" fillId="0" borderId="12" xfId="0" applyFont="1" applyBorder="1" applyAlignment="1">
      <alignment wrapText="1"/>
    </xf>
    <xf numFmtId="0" fontId="1" fillId="0" borderId="13" xfId="0" applyFont="1" applyBorder="1"/>
    <xf numFmtId="0" fontId="1" fillId="0" borderId="14" xfId="0" applyFont="1" applyBorder="1"/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4" xfId="0" applyBorder="1" applyAlignment="1">
      <alignment wrapText="1"/>
    </xf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5685-000E-4298-8D05-DCA05A6DB060}">
  <dimension ref="A1:P43"/>
  <sheetViews>
    <sheetView tabSelected="1" workbookViewId="0">
      <selection activeCell="E33" sqref="E33"/>
    </sheetView>
  </sheetViews>
  <sheetFormatPr defaultRowHeight="14.5" x14ac:dyDescent="0.35"/>
  <cols>
    <col min="2" max="2" width="21.7265625" customWidth="1"/>
    <col min="3" max="3" width="17.453125" customWidth="1"/>
    <col min="4" max="4" width="14.7265625" customWidth="1"/>
    <col min="7" max="7" width="0" hidden="1" customWidth="1"/>
  </cols>
  <sheetData>
    <row r="1" spans="2:16" ht="15" thickBot="1" x14ac:dyDescent="0.4">
      <c r="B1" s="4"/>
      <c r="C1" s="4"/>
      <c r="D1" s="4"/>
      <c r="E1" s="4"/>
      <c r="F1" s="4"/>
      <c r="G1" s="4"/>
      <c r="H1" s="4"/>
      <c r="I1" s="4"/>
      <c r="J1" s="4"/>
      <c r="K1" s="4"/>
    </row>
    <row r="2" spans="2:16" x14ac:dyDescent="0.35">
      <c r="B2" s="2" t="s">
        <v>21</v>
      </c>
    </row>
    <row r="3" spans="2:16" x14ac:dyDescent="0.35">
      <c r="B3" t="s">
        <v>25</v>
      </c>
    </row>
    <row r="4" spans="2:16" x14ac:dyDescent="0.35">
      <c r="B4" t="s">
        <v>22</v>
      </c>
    </row>
    <row r="5" spans="2:16" x14ac:dyDescent="0.35">
      <c r="B5" t="s">
        <v>23</v>
      </c>
    </row>
    <row r="6" spans="2:16" ht="15" thickBot="1" x14ac:dyDescent="0.4">
      <c r="B6" s="3" t="s">
        <v>24</v>
      </c>
      <c r="C6" s="3"/>
      <c r="D6" s="3"/>
      <c r="E6" s="3"/>
      <c r="F6" s="3"/>
      <c r="G6" s="3"/>
      <c r="H6" s="3"/>
      <c r="I6" s="3"/>
      <c r="J6" s="3"/>
      <c r="K6" s="3"/>
    </row>
    <row r="7" spans="2:16" ht="15" thickBot="1" x14ac:dyDescent="0.4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2:16" x14ac:dyDescent="0.35">
      <c r="B8" s="23" t="s">
        <v>31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2:16" x14ac:dyDescent="0.35">
      <c r="B9" s="22" t="s">
        <v>32</v>
      </c>
      <c r="C9" s="21" t="s">
        <v>33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2:16" ht="29" customHeight="1" thickBot="1" x14ac:dyDescent="0.4">
      <c r="B10" s="24" t="s">
        <v>35</v>
      </c>
      <c r="C10" s="3" t="s">
        <v>34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2:16" ht="15" thickBot="1" x14ac:dyDescent="0.4"/>
    <row r="12" spans="2:16" x14ac:dyDescent="0.35">
      <c r="B12" s="5" t="s">
        <v>11</v>
      </c>
      <c r="C12" s="6" t="s">
        <v>12</v>
      </c>
      <c r="E12" t="s">
        <v>13</v>
      </c>
    </row>
    <row r="13" spans="2:16" ht="21" x14ac:dyDescent="0.5">
      <c r="B13" s="7" t="s">
        <v>4</v>
      </c>
      <c r="C13" s="8" t="s">
        <v>5</v>
      </c>
      <c r="E13" t="s">
        <v>0</v>
      </c>
      <c r="F13" s="1" t="s">
        <v>1</v>
      </c>
      <c r="G13" s="2"/>
      <c r="H13" s="18" t="s">
        <v>28</v>
      </c>
    </row>
    <row r="14" spans="2:16" x14ac:dyDescent="0.35">
      <c r="B14" s="7" t="s">
        <v>5</v>
      </c>
      <c r="C14" s="8" t="s">
        <v>4</v>
      </c>
    </row>
    <row r="15" spans="2:16" x14ac:dyDescent="0.35">
      <c r="B15" s="7" t="s">
        <v>6</v>
      </c>
      <c r="C15" s="8" t="s">
        <v>7</v>
      </c>
    </row>
    <row r="16" spans="2:16" ht="15" thickBot="1" x14ac:dyDescent="0.4">
      <c r="B16" s="9" t="s">
        <v>7</v>
      </c>
      <c r="C16" s="10" t="s">
        <v>6</v>
      </c>
    </row>
    <row r="17" spans="1:4" ht="15" thickBot="1" x14ac:dyDescent="0.4"/>
    <row r="18" spans="1:4" ht="15" thickBot="1" x14ac:dyDescent="0.4">
      <c r="B18" s="11" t="s">
        <v>8</v>
      </c>
    </row>
    <row r="19" spans="1:4" x14ac:dyDescent="0.35">
      <c r="B19" t="s">
        <v>2</v>
      </c>
    </row>
    <row r="20" spans="1:4" ht="21" x14ac:dyDescent="0.5">
      <c r="A20" s="19" t="s">
        <v>29</v>
      </c>
      <c r="B20" t="s">
        <v>3</v>
      </c>
    </row>
    <row r="21" spans="1:4" ht="15" thickBot="1" x14ac:dyDescent="0.4"/>
    <row r="22" spans="1:4" ht="15" thickBot="1" x14ac:dyDescent="0.4">
      <c r="B22" s="12" t="s">
        <v>10</v>
      </c>
    </row>
    <row r="23" spans="1:4" x14ac:dyDescent="0.35">
      <c r="B23">
        <f>LEN(B20)</f>
        <v>3938</v>
      </c>
    </row>
    <row r="24" spans="1:4" ht="15" thickBot="1" x14ac:dyDescent="0.4"/>
    <row r="25" spans="1:4" ht="15" thickBot="1" x14ac:dyDescent="0.4">
      <c r="B25" s="12" t="s">
        <v>9</v>
      </c>
      <c r="C25" t="s">
        <v>30</v>
      </c>
      <c r="D25">
        <f>LEN(B26)</f>
        <v>3938</v>
      </c>
    </row>
    <row r="26" spans="1:4" x14ac:dyDescent="0.35">
      <c r="A26" t="s">
        <v>11</v>
      </c>
      <c r="B26" t="str">
        <f>UPPER(B20)</f>
        <v>AAATTGTAAA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CCCATTCGCCATTCAGGCTACGCAACTGTTGGGAAGGGCGATCGGTGCGGGCCTCTTCGCTATTACGCCAG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CGCCATTCTGCCTGGGGACGTCGGAGCAAGCTTGATTTAGGTGACACTATAGAGGTCTCAATGGGCGGATCCGGCGGCGGTACCGGCTTGAGACCCTCATCCTCCCGGGTAACTAAGTAAGGATCTCGACCGATCCTGAGAACTTCAGGGTGAGTTTGGGGACCCTTGATTGTTCTTTCTTTTTCGCTATTGTAAAATTCATGTTATATGGAGGGGGCAAAGTTTTCAGGGTGTTGTTTAGAATGGGAAGATGTCCCTTGTATCACCATGGACCCTCATGATAATTTTGTTTCTTTCACTTTCTACTCTGTTGACAACCATTGTCTCCTCTTATTTTCTTTTCATTTTCTGTAACTTTTTCGTTAAACTTTAGCTTGCATTTGTAACGAATTTTTAAATTCACTTTTGTTTATTTGTCAGATTGTAAGTACTTTCTCTAATCACTTTTTTTTCAAGGCAATCAGGGTATATTATATTGTACTTCAGCACAGTTTTAGAGAACAATTGTTATAATTAAATGATAAGGTAGAATATTTCTGCATATAAATTCTGGCTGGCGTGGAAATATTCTTATTGGTAGAAACAACTACACCCTGGTCATCATCCTGCCTTTCTCTTTATGGTTACAATGATATACACTGTTTGAGATGAGGATAAAATACTCTGAGTCCAAACCGGGCCCCTCTGCTAACCATGTTCATGCCTTCTTCTCTTTCCTACAGCTCCTGGGCAACGTGCTGGTTGTTGTGCTGTCTCATCATTTTGGCAAAGAATTAATTCCTCGACGGATCGTAGATCCAGACATGATAAGATACATTGATGAGTTTGGACAAACCACAACTAGAATGCAGTGAAAAAAATGCTTTATTTGTGAAATTTGTGATGCTATTGCTTTATTTGTAACCATTATAAGCTGCAATAAACAAGTTAACAACAACAATTGCATTCATTTTATGTTTCAGGTTCAGGGGGAGGTGTGGGAGGTTTTTTAATTCGCGGCCGCTCTAGAACTAGTCTGCATTAATGAATCGGCCAACGCGCGGGGAGAGGCGGTTTGCGTATTGGGCGCTCTTCCGCTTCCTCGCTCACTGACTCGCTGCGCTCGGTCGTTCGGCTGCGGCGAGCGGTATCAGCTCACTCAAAGGCGGTAATACGGTTATCCACAGAATCAGGGGATAACGCAGGAAAGAACATGTGAGCAAAAGGCCAGCAAAAGGCCAGGAACCGTAAAAAGGCCGCGTTGCTGGCGTTTTTCCATAGGCTCGGCCCCCCTGACGAGCATCACAAAAATCGACGCTCAAGTCAGAGGTGGCGAAACCCGACAGGACTATAAAGATACCAGGCGTTCCCCCCTGGAAGCTCCCTCGTGCGCTCTCCTGTTCCGACCCTGCCGCTTACCGGATACCTGTCCGCCTTTCTCCCTTCGGGAAGCGTGGCGCTTTCTCAAT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G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AAAAAAAGCGGTTAGCTCCTTCGGTCCTCCGATCGTTGTCAGAAGTAAGTTGGCCGCAGTGTTATCACTCATGC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</v>
      </c>
    </row>
    <row r="27" spans="1:4" ht="15" thickBot="1" x14ac:dyDescent="0.4"/>
    <row r="28" spans="1:4" ht="15" thickBot="1" x14ac:dyDescent="0.4">
      <c r="B28" s="12" t="s">
        <v>26</v>
      </c>
      <c r="C28" t="s">
        <v>30</v>
      </c>
      <c r="D28">
        <f>LEN(B29)</f>
        <v>3938</v>
      </c>
    </row>
    <row r="29" spans="1:4" x14ac:dyDescent="0.35">
      <c r="B29" t="str" cm="1">
        <f t="array" ref="B29">_xlfn.TEXTJOIN(,TRUE,MID(B26,_xlfn.SEQUENCE(B23, ,B23, -1),1))</f>
        <v>GTCCACCGTGAAAAGCCCCTTTACACGCGCCTTGGGGATAAACAAATAAAAAGATTTATGTAAGTTTATACATAGGCGAGTACTCTGTTATTGGGACTATTTACGAAGTTATTATAACTTTTTCCTTCTCATACTCATAAGTTGTAAAGGCACAGCGGGAATAAGGGAAAAAACGCCGTAAAACGGAAGGACAAAAACGAGTGGGTCTTTGCGACCACTTTCATTTTCTACGACTTCTAGTCAACCCACGTGCTCACCCAATGTAGCTTGACCTAGAGTTGTCGCCATTCTAGGAACTCTCAAAAGCGGGGCTTCTTGCAAAAGGTTACTACTCGTGAAAATTTCAAGACGATACACCGCGCCATAATAGGGCATAACTGCGGCCCGTTCTCGTTGAGCCAGCGGCGTATGTGATAAGAGTCTTACTGAACCAACTCATGAGTGGTCAGTGTCTTTTCGTAGAATGCCTACCGTACTGTCATTCTCTTAATACGTCACGACGGTATTCGTACTCACTATTGTGACGCCGGTTGAATGAAGACTGTTGCTAGCCTCCTGGCTTCCTCGATTGGCGAAAAAAAGTGTTGTACCCCCTAGTACATTGAGCGGAACTAGCAACCCTTGGCCTCGACTTACTTCGGTATGGTTTGCTGCTCGCACTGTGGTGCTACGGACATCGTTACCGTTGTTGCAACGCGTTTGATAATTGACCGCTTGATGAATGAGATCGAAGGGCCGTTGTTAATTATCTGACCTACCTCCGCCTATTTCAACGTCCTGGTGAAGACGCGAGCCGGGAAGGCCGACCGACCAAATAACGACTATTTAGACCTCGGCCACTCGCACCCAGGGCGCCATAGTAACGTCGTGACCCCGGTCTACCATTCGGGAGGGCATAGCATCAATAGATGTGCTGCCCGTCAGTCCGTTGATACCTACTTGCTTTATCTGTCTAGCGACTCTATCCACGGAGTGACTAATTCGTAACCATTGACAGTCTGGTTCAAATGAGTATATATGAAATCTAACTAAATTTTGAAGTAAAAATTAAATTTTCCTAGATCCACTTCTAGGAAAAACTATTAGAGTACTGGTTTTAGGGAATTGCACTCAAAAGCAAGGTGACTCGCAGTCTGGGGCATCTTTTCTAGTTTCCTAGAAGAACTCTAGGAAAAAAAGACGCGCATTAGACGACGAACGTTTGTTTTTTTGGTGGCGATGGTCGCCACCAAACAAACGGCCTAGTTCTCGATGGTTGAGAAAAAGGCTTCCATTGACCGAAGTCGTCTCGCGTCTATGGTTTATGACAGGAAGATCACATCGGCATCAATCCGGTGGTGAAGTTCTTGAGACATCGTGGCGGATGTATGGAGCGAGACGATTAGGACAATGGTCACCGACGACGGTCACCGCTATTCAGCACAGAATGGCCCAACCTGAGTTCTGCTATCAATGGCCTATTCCGCGTCGCCAGCCCGACTTGCCCCCCAAGCACGTGTGTCGGGTCGAACCTCGCTTGCTGGATGTGGCTTGACTCTATGGATGTCGCACTCGTAACTCTTTCGCGGTGCGAAGGGCTTCCCTCTTTCCGCCTGTCCATAGGCCATTCGCCGTCCCAGCCTTGTCCTCTCGCGTGCTCCCTCGAAGGTCCCCCCTTGCGGACCATAGAAATATCAGGACAGCCCAAAGCGGTGGAGACTGAACTCGCAGCTAAAAACACTACGAGCAGTCCCCCCGGCTCGGATACCTTTTTGCGGTCGTTGCGCCGGAAAAATGCCAAGGACCGGAAAACGACCGGAAAACGAGTGTACAAGAAAGGACGCAATAGGGGACTAAGACACCTATTGGCATAATGGCGGAAACTCACTCGACTATGGCGAGCGGCGTCGGCTTGCTGGCTCGCGTCGCTCAGTCACTCGCTCCTTCGCCTTCTCGCGGGTTATGCGTTTGGCGGAGAGGGGCGCGCAACCGGCTAAGTAATTACGTCTGATCAAGATCTCGCCGGCGCTTAATTTTTTGGAGGGTGTGGAGGGGGACTTGGACTTTGTATTTTACTTACGTTAACAACAACAATTGAACAAATAACGTCGAATATTACCAATGTTTATTTCGTTATCGTAGTGTTTAAAGTGTTTATTTCGTAAAAAAAGTGACGTAAGATCAACACCAAACAGGTTTGAGTAGTTACATAGAATAGTACAGACCTAGATGCTAGGCAGCTCCTTAATTAAGAAACGGTTTTACTACTCTGTCGTGTTGTTGGTCGTGCAACGGGTCCTCGACATCCTTTCTCTTCTTCCGTACTTGTACCAATCGTCTCCCCGGGCCAAACCTGAGTCTCATAAAATAGGAGTAGAGTTTGTCACATATAGTAACATTGGTATTTCTCTTTCCGTCCTACTACTGGTCCCACATCAACAAAGATGGTTATTCTTATAAAGGTGCGGTCGGTCTTAAATATACGTCTTTATAAGATGGAATAGTAAATTAATATTGTTAACAAGAGATTTTGACACGACTTCATGTTATATTATATGGGACTAACGGAACTTTTTTTTCACTAATCTCTTTCATGAATGTTAGACTGTTTATTTGTTTTCACTTAAATTTTTAAGCAATGTTTACGTTCGATTTCAAATTGCTTTTTCAATGTCTTTTACTTTTCTTTTATTCTCCTCTGTTACCAACAGTTGTCTCATCTTTCACTTTCTTTGTTTTAATAGTACTCCCAGGTACCACTATGTTCCCTGTAGAAGGGTAAGATTTGTTGTGGGACTTTTGAAACGGGGGAGGTATATTGTACTTAAAATGTTATCGCTTTTTCTTTCTTGTTAGTTCCCAGGGGTTTGAGTGGGACTTCAAGAGTCCTAGCCAGCTCTAGGAATGAATCAATGGGCCCTCCTACTCCCAGAGTTCGGCCATGGCGGCGGCCTAGGCGGGTAACTCTGGAGATATCACAGTGGATTTAGTTCGAACGAGGCTGCAGGGGTCCGTCTTACCGCCAAGGGATTTGCTCGTAACGAATATATCTGGAGGGTAATCCGTGCGGATGGCGGGTAAATGCAGTTACCTTGCGGGTAAACGCAGTAACGGGGAGGGGTAACTGCAGTTACCCCTACATGAACCGTCGGTAGCGCCCGGTAAATGGCGGTAACTGCAGTTACCCTCATGACGGTTACATGGGACCGCATGAAGGTTATCATTACATGAACGGTTCAATGATAATTATCTATAACTACATGACGGTTCACCCGGTAAATGGCAGTAACTGCAGTTATCCCCCGCACTCTTGCCTATACTTACCCGTTACTCGGTAGGGTAACTGCAGTTACCACCCACCAGGATAACTGCAGTTACCCGTAACTCGGTCCGCCCGGTAAATGGCATTAACTGCAGTTACCCCCTCCGCGGGACCGCATTATCGCTTCTCCGGGCGTGGCTAGCGGGAAGGGTTGTCAACGCATCGGACTTACCGCTTACCCTGCGCGGGACATCGCCGCGTAATTCGCGCCGCCCACACCACCAATGCGCGTCGCACTGGCGATGTGAACGGTCGCGGGATCGCGGGCGAGGAAAGCGAAAGAAGGGAAGGAAAGAGCGGTGCAAGCGGCCGAAAGGGGCAGTTCGAGATTTAGCCCCCGAGGGAAATCCCAAGGCTAAATCACGAAATGCCGTGGAGCTGGGGTTTTTTGAACTAATCCCACTACCAAGTGCATCACCCGGTAGCGGGACTATCTGCCAAAAAGCGGGAAACTGCAACCTCAGGTGCAAGAAATTATCACCTGAGAACAAGGTTTGACCTTGTTGTGAGTTGGGATAGAGCCAGATAAGAAAACTAAATATTCCCTAAAACGGCTAAAGCCGGATAACCAATTTTTTACTCGACTAAATTGTTTTTAAATTGCGCTTAAAATTGTTTTATAATTGCAAATGTTAAA</v>
      </c>
    </row>
    <row r="30" spans="1:4" ht="15" thickBot="1" x14ac:dyDescent="0.4"/>
    <row r="31" spans="1:4" ht="27" customHeight="1" thickBot="1" x14ac:dyDescent="0.4">
      <c r="A31" t="s">
        <v>12</v>
      </c>
      <c r="B31" s="20" t="s">
        <v>27</v>
      </c>
      <c r="C31" t="s">
        <v>30</v>
      </c>
      <c r="D31">
        <f>LEN(B32)</f>
        <v>3938</v>
      </c>
    </row>
    <row r="32" spans="1:4" x14ac:dyDescent="0.35">
      <c r="B32" t="str" cm="1">
        <f t="array" ref="B32">_xlfn.TEXTJOIN(,TRUE,_xlfn.XLOOKUP(MID(B26,_xlfn.SEQUENCE(B23, ,B23, -1),1),Sense,Anti))</f>
        <v>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GCATGAGTGATAACACTGCGGCCAACTTACTTCTGACAACGATCGGAGGACCGAAGGAGCTAACCGCTTTTTTTCACAACATGGGGGATCATGTAACTCGCCTTGATCGTTGGGAACCGGAGCTGAATGAAGCCATACCAAACGACGAGCGTGACACCACGATGCCTGTAGCAATGGCAACAACGTTGCGCAAACTATTAACTGGCGAACTACTTACTCTAGCTTCCCGGCAACAATTAATAGACTGGATGGAGGCGGATAAAGTTGCAGGACCACTTCTGCGCTCGGCCCTTCCGGCTGGCTGGTTTATTGCTGATAAATCTGGAGCCGGTGAGCGTGGGTCCCGCGGTATCATTGCAGCACTGGGGCCAGATGGTAAGCCCTCCCGTATCGTAGTTATCTACACGACGGGC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ATTGAGAAAGCGCCACGCTTCCCGAAGGGAGAAAGGCGGACAGGTATCCGGTAAGCGGCAGGGTCGGAACAGGAGAGCGCACGAGGGAGCTTCCAGGGGGGAACGCCTGGTATCTTTATAGTCCTGTCGGGTTTCGCCACCTCTGACTTGAGCGTCGATTTTTGTGATGCTCGTCAGGGGGGCCGAGCCTATGGAAAAACGCCAGCAACGCGGCCTTTTTACGGTTCCTGGCCTTTTGCTGGCCTTTTGCTCACATGTTCTTTCCTGCGTTATCCCCTGATTCTGTGGATAACCGTATTACCGCCTTTGAGTGAGCTGATACCGCTCGCCGCAGCCGAACGACCGAGCGCAGCGAGTCAGTGAGCGAGGAAGCGGAAGAGCGCCCAATACGCAAACCGCCTCTCCCCGCGCGTTGGCCGATTCATTAATGCAGACTAGTTCTAGAGCGGCCGCGAATTAAAAAACCTCCCACACCTCCCCCTGAACCTGAAACATAAAATGAATGCAATTGTTGTTGTTAACTTGTTTATTGCAGCTTATAATGGTTACAAATAAAGCAATAGCATCACAAATTTCACAAATAAAGCATTTTTTTCACTGCATTCTAGTTGTGGTTTGTCCAAACTCATCAATGTATCTTATCATGTCTGGATCTACGATCCGTCGAGGAATTAATTCTTTGCCAAAATGATGAGACAGCACAACAACCAGCACGTTGCCCAGGAGCTGTAGGAAAGAGAAGAAGGCATGAACATGGTTAGCAGAGGGGCCCGGTTTGGACTCAGAGTATTTTATCCTCATCTCAAACAGTGTATATCATTGTAACCATAAAGAGAAAGGCAGGATGATGACCAGGGTGTAGTTGTTTCTACCAATAAGAATATTTCCACGCCAGCCAGAATTTATATGCAGAAATATTCTACCTTATCATTTAATTATAACAATTGTTCTCTAAAACTGTGCTGAAGTACAATATAATATACCCTGATTGCCTTGAAAAAAAAGTGATTAGAGAAAGTACTTACAATCTGACAAATAAACAAAAGTGAATTTAAAAATTCGTTACAAATGCAAGCTAAAGTTTAACGAAAAAGTTACAGAAAATGAAAAGAAAATAAGAGGAGACAATGGTTGTCAACAGAGTAGAAAGTGAAAGAAACAAAATTATCATGAGGGTCCATGGTGATACAAGGGACATCTTCCCATTCTAAACAACACCCTGAAAACTTTGCCCCCTCCATATAACATGAATTTTACAATAGCGAAAAAGAAAGAACAATCAAGGGTCCCCAAACTCACCCTGAAGTTCTCAGGATCGGTCGAGATCCTTACTTAGTTACCCGGGAGGATGAGGGTCTCAAGCCGGTACCGCCGCCGGATCCGCCCATTGAGACCTCTATAGTGTCACCTAAATCAAGCTTGCTCCGACGTCCCCAGGCAGAATGGCGGTTCCCTAAACGAGCATTGCTTATATAGACCTCCCATTAGGCACGCCTACCGCCCATTTACGTCAATGGAACGCCCATTTGCGTCATTGCCCCTCCCCATTGACGTCAATGGGGATGTACTTGGCAGCCATCGCGGGCCATTTACCGCCATTGACGTCAATGGGAGTACTGCCAATGTACCCTGGCGTACTTCCAATAGTAATGTACTTGCCAAGTTACTATTAATAGATATTGATGTACTGCCAAGTGGGCCATTTACCGTCATTGACGTCAATAGGGGGCGTGAGAACGGATATGAATGGGCAATGAGCCATCCCATTGACGTCAATGGTGGGTGGTCCTATTGACGTCAATGGGCATTGAGCCAGGCGGGCCATTTACCGTAATTGACGTCAATGGGGGAGGCGCCCTGGCGTAATAGCGAAGAGGCCCGCACCGATCGCCCTTCCCAACAGTTGCGTAGCCTGAA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</v>
      </c>
    </row>
    <row r="33" spans="2:4" ht="15" thickBot="1" x14ac:dyDescent="0.4"/>
    <row r="34" spans="2:4" ht="39.5" customHeight="1" x14ac:dyDescent="0.35">
      <c r="B34" s="13" t="s">
        <v>15</v>
      </c>
      <c r="C34" s="14" t="s">
        <v>16</v>
      </c>
      <c r="D34" s="6" t="s">
        <v>14</v>
      </c>
    </row>
    <row r="35" spans="2:4" x14ac:dyDescent="0.35">
      <c r="B35" s="7" t="s">
        <v>17</v>
      </c>
      <c r="C35">
        <f>FIND(F13,B26)</f>
        <v>990</v>
      </c>
      <c r="D35" s="8" t="str">
        <f>MID(B26,C35,11)</f>
        <v>GGTCTCAATGG</v>
      </c>
    </row>
    <row r="36" spans="2:4" x14ac:dyDescent="0.35">
      <c r="B36" s="7" t="s">
        <v>18</v>
      </c>
      <c r="C36" t="e">
        <f>FIND(F13,B26,C35+1)</f>
        <v>#VALUE!</v>
      </c>
      <c r="D36" s="8" t="e">
        <f>MID(B26,C36,11)</f>
        <v>#VALUE!</v>
      </c>
    </row>
    <row r="37" spans="2:4" ht="15" thickBot="1" x14ac:dyDescent="0.4">
      <c r="B37" s="9" t="s">
        <v>19</v>
      </c>
      <c r="C37" s="3" t="e">
        <f>FIND(F13,B26,C36+2)</f>
        <v>#VALUE!</v>
      </c>
      <c r="D37" s="10" t="e">
        <f>MID(B26,C37,11)</f>
        <v>#VALUE!</v>
      </c>
    </row>
    <row r="39" spans="2:4" ht="15" thickBot="1" x14ac:dyDescent="0.4"/>
    <row r="40" spans="2:4" ht="34" customHeight="1" x14ac:dyDescent="0.35">
      <c r="B40" s="15" t="s">
        <v>20</v>
      </c>
      <c r="C40" s="16" t="s">
        <v>16</v>
      </c>
      <c r="D40" s="17" t="s">
        <v>14</v>
      </c>
    </row>
    <row r="41" spans="2:4" x14ac:dyDescent="0.35">
      <c r="B41" s="7" t="s">
        <v>17</v>
      </c>
      <c r="C41">
        <f>FIND(F13,B32)</f>
        <v>2908</v>
      </c>
      <c r="D41" s="8" t="str">
        <f>MID(B32,C41,11)</f>
        <v>GGTCTCAAGCC</v>
      </c>
    </row>
    <row r="42" spans="2:4" x14ac:dyDescent="0.35">
      <c r="B42" s="7" t="s">
        <v>18</v>
      </c>
      <c r="C42" t="e">
        <f>FIND(F13,B32,C41+1)</f>
        <v>#VALUE!</v>
      </c>
      <c r="D42" s="8" t="e">
        <f>MID(B32,C42,11)</f>
        <v>#VALUE!</v>
      </c>
    </row>
    <row r="43" spans="2:4" ht="15" thickBot="1" x14ac:dyDescent="0.4">
      <c r="B43" s="9" t="s">
        <v>19</v>
      </c>
      <c r="C43" s="3" t="e">
        <f>FIND(F13,B32,C42+1)</f>
        <v>#VALUE!</v>
      </c>
      <c r="D43" s="10" t="e">
        <f>MID(B32,C43,11)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Anti</vt:lpstr>
      <vt:lpstr>Sense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Guozheng Shao</dc:creator>
  <cp:lastModifiedBy>Guozheng Shao</cp:lastModifiedBy>
  <dcterms:created xsi:type="dcterms:W3CDTF">2026-04-03T21:45:55Z</dcterms:created>
  <dcterms:modified xsi:type="dcterms:W3CDTF">2026-04-04T20:42:09Z</dcterms:modified>
</cp:coreProperties>
</file>